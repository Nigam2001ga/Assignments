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defaultThemeVersion="166925"/>
  <mc:AlternateContent xmlns:mc="http://schemas.openxmlformats.org/markup-compatibility/2006">
    <mc:Choice Requires="x15">
      <x15ac:absPath xmlns:x15ac="http://schemas.microsoft.com/office/spreadsheetml/2010/11/ac" url="E:\Data Analysis\"/>
    </mc:Choice>
  </mc:AlternateContent>
  <xr:revisionPtr revIDLastSave="0" documentId="8_{74BCCA39-DFFC-4C96-8E6C-2742E4F13B1D}" xr6:coauthVersionLast="47" xr6:coauthVersionMax="47" xr10:uidLastSave="{00000000-0000-0000-0000-000000000000}"/>
  <bookViews>
    <workbookView xWindow="-120" yWindow="-120" windowWidth="20730" windowHeight="11160" xr2:uid="{E67A439E-097A-4C5A-8D76-A79AFF85B98B}"/>
  </bookViews>
  <sheets>
    <sheet name="Macros ass 2" sheetId="2" r:id="rId1"/>
    <sheet name="Sheet1" sheetId="1" r:id="rId2"/>
  </sheets>
  <definedNames>
    <definedName name="ExternalData_1" localSheetId="0" hidden="1">'Macros ass 2'!$A$1:$F$19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" i="2" l="1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G2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A527045-E2BC-4603-815F-5DBBBFADB4B9}" keepAlive="1" name="Query - Macros ass 2" description="Connection to the 'Macros ass 2' query in the workbook." type="5" refreshedVersion="8" background="1" saveData="1">
    <dbPr connection="Provider=Microsoft.Mashup.OleDb.1;Data Source=$Workbook$;Location=&quot;Macros ass 2&quot;;Extended Properties=&quot;&quot;" command="SELECT * FROM [Macros ass 2]"/>
  </connection>
</connections>
</file>

<file path=xl/sharedStrings.xml><?xml version="1.0" encoding="utf-8"?>
<sst xmlns="http://schemas.openxmlformats.org/spreadsheetml/2006/main" count="44" uniqueCount="42">
  <si>
    <t>OrderID</t>
  </si>
  <si>
    <t>Name</t>
  </si>
  <si>
    <t>Product</t>
  </si>
  <si>
    <t>Quantity</t>
  </si>
  <si>
    <t>Price</t>
  </si>
  <si>
    <t>Total</t>
  </si>
  <si>
    <t>Bill Smith</t>
  </si>
  <si>
    <t xml:space="preserve"> Volkswagen Golf</t>
  </si>
  <si>
    <t>Kennedi Singh</t>
  </si>
  <si>
    <t xml:space="preserve"> Toyota Yaris</t>
  </si>
  <si>
    <t>Harley Fritz</t>
  </si>
  <si>
    <t xml:space="preserve"> Seat Panda</t>
  </si>
  <si>
    <t>Nyla Novak</t>
  </si>
  <si>
    <t xml:space="preserve"> Ford Focus</t>
  </si>
  <si>
    <t>Ivan Hines</t>
  </si>
  <si>
    <t xml:space="preserve"> Vauxhall Corsa</t>
  </si>
  <si>
    <t>Jonah Higgins</t>
  </si>
  <si>
    <t xml:space="preserve"> Volkswagen Polo</t>
  </si>
  <si>
    <t>Jordan Boone</t>
  </si>
  <si>
    <t>Kia Sportage</t>
  </si>
  <si>
    <t>Kylee Townsend</t>
  </si>
  <si>
    <t>Ford Fiesta</t>
  </si>
  <si>
    <t>Nora Rollins</t>
  </si>
  <si>
    <t>Seat Ibiza</t>
  </si>
  <si>
    <t>Brendan Walls</t>
  </si>
  <si>
    <t>Renault Clio</t>
  </si>
  <si>
    <t>Steven Michael</t>
  </si>
  <si>
    <t>Honda CR-V</t>
  </si>
  <si>
    <t>Lucia Mckay</t>
  </si>
  <si>
    <t>GMC Sierra</t>
  </si>
  <si>
    <t>Josue Roach</t>
  </si>
  <si>
    <t>Seat Panda</t>
  </si>
  <si>
    <t>Franklin Wright</t>
  </si>
  <si>
    <t>Ford Focus</t>
  </si>
  <si>
    <t>Denzel Flores</t>
  </si>
  <si>
    <t>Vauxhall Corsa</t>
  </si>
  <si>
    <t>Bruno Cordova</t>
  </si>
  <si>
    <t>Volkswagen Polo</t>
  </si>
  <si>
    <t>Jaylynn Knapp</t>
  </si>
  <si>
    <t>Bruce Rich</t>
  </si>
  <si>
    <t>10% Discount</t>
  </si>
  <si>
    <t>Column1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</si>
</sst>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NumberFormat="1"/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37F4BADE-18E8-4A77-B967-54688C71B4A7}" autoFormatId="16" applyNumberFormats="0" applyBorderFormats="0" applyFontFormats="0" applyPatternFormats="0" applyAlignmentFormats="0" applyWidthHeightFormats="0">
  <queryTableRefresh nextId="9" unboundColumnsRight="2">
    <queryTableFields count="8">
      <queryTableField id="1" name="OrderID" tableColumnId="1"/>
      <queryTableField id="2" name="Name" tableColumnId="2"/>
      <queryTableField id="3" name="Product" tableColumnId="3"/>
      <queryTableField id="4" name="Quantity" tableColumnId="4"/>
      <queryTableField id="5" name="Price" tableColumnId="5"/>
      <queryTableField id="6" name="Total" tableColumnId="6"/>
      <queryTableField id="7" dataBound="0" tableColumnId="7"/>
      <queryTableField id="8" dataBound="0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ADE672C-EC08-4B8E-B712-8858533E7E85}" name="Macros_ass_2" displayName="Macros_ass_2" ref="A1:H19" tableType="queryTable" totalsRowShown="0">
  <autoFilter ref="A1:H19" xr:uid="{5ADE672C-EC08-4B8E-B712-8858533E7E85}"/>
  <tableColumns count="8">
    <tableColumn id="1" xr3:uid="{D6BBFCDE-7F5F-430D-B3C0-282322823CF4}" uniqueName="1" name="OrderID" queryTableFieldId="1"/>
    <tableColumn id="2" xr3:uid="{5A1BB860-A1A1-496A-8FD3-E473BCAB3A00}" uniqueName="2" name="Name" queryTableFieldId="2" dataDxfId="4"/>
    <tableColumn id="3" xr3:uid="{CC14A1FF-C510-4318-A083-E462C71452F2}" uniqueName="3" name="Product" queryTableFieldId="3" dataDxfId="3"/>
    <tableColumn id="4" xr3:uid="{FDEB91CA-D677-4AC9-B719-B71034BE099D}" uniqueName="4" name="Quantity" queryTableFieldId="4"/>
    <tableColumn id="5" xr3:uid="{8A51CF87-FBEF-4A86-A1F1-86770C6FDDD5}" uniqueName="5" name="Price" queryTableFieldId="5"/>
    <tableColumn id="6" xr3:uid="{6A7E2BED-7810-49CF-B5AD-060A930D45A2}" uniqueName="6" name="Total" queryTableFieldId="6"/>
    <tableColumn id="7" xr3:uid="{A0E4FBA4-6951-484D-8965-D02000F2758A}" uniqueName="7" name="10% Discount" queryTableFieldId="7" dataDxfId="2">
      <calculatedColumnFormula>Macros_ass_2[[#This Row],[Total]]*10%</calculatedColumnFormula>
    </tableColumn>
    <tableColumn id="8" xr3:uid="{5292B561-1B6D-4BDF-9558-4A959A80C2D3}" uniqueName="8" name="Column1" queryTableFieldId="8" dataDxfId="1">
      <calculatedColumnFormula>IF(Macros_ass_2[[#This Row],[Quantity]]&gt;20, Macros_ass_2[[#This Row],[Total]]*20%, "No Discount")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7413C-E9AB-4B77-8DC9-94D5DFE5541D}">
  <dimension ref="A1:H19"/>
  <sheetViews>
    <sheetView tabSelected="1" workbookViewId="0">
      <selection activeCell="H2" sqref="H2"/>
    </sheetView>
  </sheetViews>
  <sheetFormatPr defaultRowHeight="15" x14ac:dyDescent="0.25"/>
  <cols>
    <col min="1" max="1" width="10.28515625" bestFit="1" customWidth="1"/>
    <col min="2" max="2" width="15.7109375" bestFit="1" customWidth="1"/>
    <col min="3" max="3" width="16.7109375" bestFit="1" customWidth="1"/>
    <col min="4" max="4" width="11" bestFit="1" customWidth="1"/>
    <col min="5" max="5" width="7.7109375" bestFit="1" customWidth="1"/>
    <col min="6" max="6" width="8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40</v>
      </c>
      <c r="H1" t="s">
        <v>41</v>
      </c>
    </row>
    <row r="2" spans="1:8" x14ac:dyDescent="0.25">
      <c r="A2">
        <v>11280</v>
      </c>
      <c r="B2" s="1" t="s">
        <v>6</v>
      </c>
      <c r="C2" s="1" t="s">
        <v>7</v>
      </c>
      <c r="D2">
        <v>15</v>
      </c>
      <c r="E2">
        <v>30000</v>
      </c>
      <c r="F2">
        <v>450000</v>
      </c>
      <c r="G2">
        <f>Macros_ass_2[[#This Row],[Total]]*10%</f>
        <v>45000</v>
      </c>
      <c r="H2" t="str">
        <f>IF(Macros_ass_2[[#This Row],[Quantity]]&gt;20, Macros_ass_2[[#This Row],[Total]]*20%, "No Discount")</f>
        <v>No Discount</v>
      </c>
    </row>
    <row r="3" spans="1:8" x14ac:dyDescent="0.25">
      <c r="A3">
        <v>11281</v>
      </c>
      <c r="B3" s="1" t="s">
        <v>8</v>
      </c>
      <c r="C3" s="1" t="s">
        <v>9</v>
      </c>
      <c r="D3">
        <v>10</v>
      </c>
      <c r="E3">
        <v>25000</v>
      </c>
      <c r="F3">
        <v>250000</v>
      </c>
      <c r="G3">
        <f>Macros_ass_2[[#This Row],[Total]]*10%</f>
        <v>25000</v>
      </c>
      <c r="H3" t="str">
        <f>IF(Macros_ass_2[[#This Row],[Quantity]]&gt;20, Macros_ass_2[[#This Row],[Total]]*20%, "No Discount")</f>
        <v>No Discount</v>
      </c>
    </row>
    <row r="4" spans="1:8" x14ac:dyDescent="0.25">
      <c r="A4">
        <v>11282</v>
      </c>
      <c r="B4" s="1" t="s">
        <v>10</v>
      </c>
      <c r="C4" s="1" t="s">
        <v>11</v>
      </c>
      <c r="D4">
        <v>150</v>
      </c>
      <c r="E4">
        <v>28000</v>
      </c>
      <c r="F4">
        <v>4200000</v>
      </c>
      <c r="G4">
        <f>Macros_ass_2[[#This Row],[Total]]*10%</f>
        <v>420000</v>
      </c>
      <c r="H4">
        <f>IF(Macros_ass_2[[#This Row],[Quantity]]&gt;20, Macros_ass_2[[#This Row],[Total]]*20%, "No Discount")</f>
        <v>840000</v>
      </c>
    </row>
    <row r="5" spans="1:8" x14ac:dyDescent="0.25">
      <c r="A5">
        <v>11283</v>
      </c>
      <c r="B5" s="1" t="s">
        <v>12</v>
      </c>
      <c r="C5" s="1" t="s">
        <v>13</v>
      </c>
      <c r="D5">
        <v>12</v>
      </c>
      <c r="E5">
        <v>30000</v>
      </c>
      <c r="F5">
        <v>360000</v>
      </c>
      <c r="G5">
        <f>Macros_ass_2[[#This Row],[Total]]*10%</f>
        <v>36000</v>
      </c>
      <c r="H5" t="str">
        <f>IF(Macros_ass_2[[#This Row],[Quantity]]&gt;20, Macros_ass_2[[#This Row],[Total]]*20%, "No Discount")</f>
        <v>No Discount</v>
      </c>
    </row>
    <row r="6" spans="1:8" x14ac:dyDescent="0.25">
      <c r="A6">
        <v>11284</v>
      </c>
      <c r="B6" s="1" t="s">
        <v>14</v>
      </c>
      <c r="C6" s="1" t="s">
        <v>15</v>
      </c>
      <c r="D6">
        <v>20</v>
      </c>
      <c r="E6">
        <v>30000</v>
      </c>
      <c r="F6">
        <v>600000</v>
      </c>
      <c r="G6">
        <f>Macros_ass_2[[#This Row],[Total]]*10%</f>
        <v>60000</v>
      </c>
      <c r="H6" t="str">
        <f>IF(Macros_ass_2[[#This Row],[Quantity]]&gt;20, Macros_ass_2[[#This Row],[Total]]*20%, "No Discount")</f>
        <v>No Discount</v>
      </c>
    </row>
    <row r="7" spans="1:8" x14ac:dyDescent="0.25">
      <c r="A7">
        <v>11285</v>
      </c>
      <c r="B7" s="1" t="s">
        <v>16</v>
      </c>
      <c r="C7" s="1" t="s">
        <v>17</v>
      </c>
      <c r="D7">
        <v>20</v>
      </c>
      <c r="E7">
        <v>26000</v>
      </c>
      <c r="F7">
        <v>520000</v>
      </c>
      <c r="G7">
        <f>Macros_ass_2[[#This Row],[Total]]*10%</f>
        <v>52000</v>
      </c>
      <c r="H7" t="str">
        <f>IF(Macros_ass_2[[#This Row],[Quantity]]&gt;20, Macros_ass_2[[#This Row],[Total]]*20%, "No Discount")</f>
        <v>No Discount</v>
      </c>
    </row>
    <row r="8" spans="1:8" x14ac:dyDescent="0.25">
      <c r="A8">
        <v>11286</v>
      </c>
      <c r="B8" s="1" t="s">
        <v>18</v>
      </c>
      <c r="C8" s="1" t="s">
        <v>19</v>
      </c>
      <c r="D8">
        <v>2</v>
      </c>
      <c r="E8">
        <v>30000</v>
      </c>
      <c r="F8">
        <v>60000</v>
      </c>
      <c r="G8">
        <f>Macros_ass_2[[#This Row],[Total]]*10%</f>
        <v>6000</v>
      </c>
      <c r="H8" t="str">
        <f>IF(Macros_ass_2[[#This Row],[Quantity]]&gt;20, Macros_ass_2[[#This Row],[Total]]*20%, "No Discount")</f>
        <v>No Discount</v>
      </c>
    </row>
    <row r="9" spans="1:8" x14ac:dyDescent="0.25">
      <c r="A9">
        <v>11287</v>
      </c>
      <c r="B9" s="1" t="s">
        <v>20</v>
      </c>
      <c r="C9" s="1" t="s">
        <v>21</v>
      </c>
      <c r="D9">
        <v>5</v>
      </c>
      <c r="E9">
        <v>35000</v>
      </c>
      <c r="F9">
        <v>175000</v>
      </c>
      <c r="G9">
        <f>Macros_ass_2[[#This Row],[Total]]*10%</f>
        <v>17500</v>
      </c>
      <c r="H9" t="str">
        <f>IF(Macros_ass_2[[#This Row],[Quantity]]&gt;20, Macros_ass_2[[#This Row],[Total]]*20%, "No Discount")</f>
        <v>No Discount</v>
      </c>
    </row>
    <row r="10" spans="1:8" x14ac:dyDescent="0.25">
      <c r="A10">
        <v>11288</v>
      </c>
      <c r="B10" s="1" t="s">
        <v>22</v>
      </c>
      <c r="C10" s="1" t="s">
        <v>23</v>
      </c>
      <c r="D10">
        <v>80</v>
      </c>
      <c r="E10">
        <v>30000</v>
      </c>
      <c r="F10">
        <v>2400000</v>
      </c>
      <c r="G10">
        <f>Macros_ass_2[[#This Row],[Total]]*10%</f>
        <v>240000</v>
      </c>
      <c r="H10">
        <f>IF(Macros_ass_2[[#This Row],[Quantity]]&gt;20, Macros_ass_2[[#This Row],[Total]]*20%, "No Discount")</f>
        <v>480000</v>
      </c>
    </row>
    <row r="11" spans="1:8" x14ac:dyDescent="0.25">
      <c r="A11">
        <v>11289</v>
      </c>
      <c r="B11" s="1" t="s">
        <v>24</v>
      </c>
      <c r="C11" s="1" t="s">
        <v>25</v>
      </c>
      <c r="D11">
        <v>100</v>
      </c>
      <c r="E11">
        <v>26000</v>
      </c>
      <c r="F11">
        <v>2600000</v>
      </c>
      <c r="G11">
        <f>Macros_ass_2[[#This Row],[Total]]*10%</f>
        <v>260000</v>
      </c>
      <c r="H11">
        <f>IF(Macros_ass_2[[#This Row],[Quantity]]&gt;20, Macros_ass_2[[#This Row],[Total]]*20%, "No Discount")</f>
        <v>520000</v>
      </c>
    </row>
    <row r="12" spans="1:8" x14ac:dyDescent="0.25">
      <c r="A12">
        <v>11290</v>
      </c>
      <c r="B12" s="1" t="s">
        <v>26</v>
      </c>
      <c r="C12" s="1" t="s">
        <v>27</v>
      </c>
      <c r="D12">
        <v>20</v>
      </c>
      <c r="E12">
        <v>35000</v>
      </c>
      <c r="F12">
        <v>700000</v>
      </c>
      <c r="G12">
        <f>Macros_ass_2[[#This Row],[Total]]*10%</f>
        <v>70000</v>
      </c>
      <c r="H12" t="str">
        <f>IF(Macros_ass_2[[#This Row],[Quantity]]&gt;20, Macros_ass_2[[#This Row],[Total]]*20%, "No Discount")</f>
        <v>No Discount</v>
      </c>
    </row>
    <row r="13" spans="1:8" x14ac:dyDescent="0.25">
      <c r="A13">
        <v>11291</v>
      </c>
      <c r="B13" s="1" t="s">
        <v>28</v>
      </c>
      <c r="C13" s="1" t="s">
        <v>29</v>
      </c>
      <c r="D13">
        <v>25</v>
      </c>
      <c r="E13">
        <v>40000</v>
      </c>
      <c r="F13">
        <v>1000000</v>
      </c>
      <c r="G13">
        <f>Macros_ass_2[[#This Row],[Total]]*10%</f>
        <v>100000</v>
      </c>
      <c r="H13">
        <f>IF(Macros_ass_2[[#This Row],[Quantity]]&gt;20, Macros_ass_2[[#This Row],[Total]]*20%, "No Discount")</f>
        <v>200000</v>
      </c>
    </row>
    <row r="14" spans="1:8" x14ac:dyDescent="0.25">
      <c r="A14">
        <v>11292</v>
      </c>
      <c r="B14" s="1" t="s">
        <v>30</v>
      </c>
      <c r="C14" s="1" t="s">
        <v>31</v>
      </c>
      <c r="D14">
        <v>10</v>
      </c>
      <c r="E14">
        <v>28000</v>
      </c>
      <c r="F14">
        <v>280000</v>
      </c>
      <c r="G14">
        <f>Macros_ass_2[[#This Row],[Total]]*10%</f>
        <v>28000</v>
      </c>
      <c r="H14" t="str">
        <f>IF(Macros_ass_2[[#This Row],[Quantity]]&gt;20, Macros_ass_2[[#This Row],[Total]]*20%, "No Discount")</f>
        <v>No Discount</v>
      </c>
    </row>
    <row r="15" spans="1:8" x14ac:dyDescent="0.25">
      <c r="A15">
        <v>11293</v>
      </c>
      <c r="B15" s="1" t="s">
        <v>32</v>
      </c>
      <c r="C15" s="1" t="s">
        <v>33</v>
      </c>
      <c r="D15">
        <v>10</v>
      </c>
      <c r="E15">
        <v>30000</v>
      </c>
      <c r="F15">
        <v>300000</v>
      </c>
      <c r="G15">
        <f>Macros_ass_2[[#This Row],[Total]]*10%</f>
        <v>30000</v>
      </c>
      <c r="H15" t="str">
        <f>IF(Macros_ass_2[[#This Row],[Quantity]]&gt;20, Macros_ass_2[[#This Row],[Total]]*20%, "No Discount")</f>
        <v>No Discount</v>
      </c>
    </row>
    <row r="16" spans="1:8" x14ac:dyDescent="0.25">
      <c r="A16">
        <v>11294</v>
      </c>
      <c r="B16" s="1" t="s">
        <v>34</v>
      </c>
      <c r="C16" s="1" t="s">
        <v>35</v>
      </c>
      <c r="D16">
        <v>5</v>
      </c>
      <c r="E16">
        <v>30000</v>
      </c>
      <c r="F16">
        <v>150000</v>
      </c>
      <c r="G16">
        <f>Macros_ass_2[[#This Row],[Total]]*10%</f>
        <v>15000</v>
      </c>
      <c r="H16" t="str">
        <f>IF(Macros_ass_2[[#This Row],[Quantity]]&gt;20, Macros_ass_2[[#This Row],[Total]]*20%, "No Discount")</f>
        <v>No Discount</v>
      </c>
    </row>
    <row r="17" spans="1:8" x14ac:dyDescent="0.25">
      <c r="A17">
        <v>11295</v>
      </c>
      <c r="B17" s="1" t="s">
        <v>36</v>
      </c>
      <c r="C17" s="1" t="s">
        <v>37</v>
      </c>
      <c r="D17">
        <v>180</v>
      </c>
      <c r="E17">
        <v>26000</v>
      </c>
      <c r="F17">
        <v>4680000</v>
      </c>
      <c r="G17">
        <f>Macros_ass_2[[#This Row],[Total]]*10%</f>
        <v>468000</v>
      </c>
      <c r="H17">
        <f>IF(Macros_ass_2[[#This Row],[Quantity]]&gt;20, Macros_ass_2[[#This Row],[Total]]*20%, "No Discount")</f>
        <v>936000</v>
      </c>
    </row>
    <row r="18" spans="1:8" x14ac:dyDescent="0.25">
      <c r="A18">
        <v>11296</v>
      </c>
      <c r="B18" s="1" t="s">
        <v>38</v>
      </c>
      <c r="C18" s="1" t="s">
        <v>19</v>
      </c>
      <c r="D18">
        <v>5</v>
      </c>
      <c r="E18">
        <v>30000</v>
      </c>
      <c r="F18">
        <v>150000</v>
      </c>
      <c r="G18">
        <f>Macros_ass_2[[#This Row],[Total]]*10%</f>
        <v>15000</v>
      </c>
      <c r="H18" t="str">
        <f>IF(Macros_ass_2[[#This Row],[Quantity]]&gt;20, Macros_ass_2[[#This Row],[Total]]*20%, "No Discount")</f>
        <v>No Discount</v>
      </c>
    </row>
    <row r="19" spans="1:8" x14ac:dyDescent="0.25">
      <c r="A19">
        <v>11297</v>
      </c>
      <c r="B19" s="1" t="s">
        <v>39</v>
      </c>
      <c r="C19" s="1" t="s">
        <v>21</v>
      </c>
      <c r="D19">
        <v>250</v>
      </c>
      <c r="E19">
        <v>35000</v>
      </c>
      <c r="F19">
        <v>8750000</v>
      </c>
      <c r="G19">
        <f>Macros_ass_2[[#This Row],[Total]]*10%</f>
        <v>875000</v>
      </c>
      <c r="H19">
        <f>IF(Macros_ass_2[[#This Row],[Quantity]]&gt;20, Macros_ass_2[[#This Row],[Total]]*20%, "No Discount")</f>
        <v>1750000</v>
      </c>
    </row>
  </sheetData>
  <conditionalFormatting sqref="F2:F19">
    <cfRule type="top10" dxfId="0" priority="1" rank="10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C0D53-BB1C-435A-B9EE-5F48166ABA1F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2EF2945-FA37-4F7D-805D-D1019B86C1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Macros ass 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Renish Gangani</dc:creator>
  <cp:lastModifiedBy>Renish Gangani</cp:lastModifiedBy>
  <dcterms:created xsi:type="dcterms:W3CDTF">2025-01-09T02:07:20Z</dcterms:created>
  <dcterms:modified xsi:type="dcterms:W3CDTF">2025-01-09T02:31:40Z</dcterms:modified>
</cp:coreProperties>
</file>